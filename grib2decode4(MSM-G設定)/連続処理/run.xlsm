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M:\業務データ\2021\M18021004_川上ダム防災操作\81_予測雨量整理\10_ツール\grib2decode4(MSM-G設定)\連続処理\"/>
    </mc:Choice>
  </mc:AlternateContent>
  <xr:revisionPtr revIDLastSave="0" documentId="13_ncr:1_{779F50FB-C9C4-4D77-BDD6-1E33E0398D82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cnt" sheetId="2" r:id="rId1"/>
    <sheet name="mk_bat_MSM_GUID" sheetId="1" r:id="rId2"/>
    <sheet name="mk_bat_MSM_GUID_nilim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2" i="3" l="1"/>
  <c r="G12" i="3" s="1"/>
  <c r="D11" i="3"/>
  <c r="G11" i="3" s="1"/>
  <c r="D10" i="3"/>
  <c r="G10" i="3" s="1"/>
  <c r="D9" i="3"/>
  <c r="G9" i="3" s="1"/>
  <c r="A9" i="3"/>
  <c r="A10" i="3" s="1"/>
  <c r="A11" i="3" s="1"/>
  <c r="A12" i="3" s="1"/>
  <c r="D12" i="1"/>
  <c r="G12" i="1" s="1"/>
  <c r="D11" i="1"/>
  <c r="G11" i="1" s="1"/>
  <c r="D10" i="1"/>
  <c r="G10" i="1" s="1"/>
  <c r="D9" i="1"/>
  <c r="G9" i="1" s="1"/>
  <c r="A9" i="1"/>
  <c r="A10" i="1" s="1"/>
  <c r="A11" i="1" s="1"/>
  <c r="A12" i="1" s="1"/>
  <c r="E9" i="3" l="1"/>
  <c r="B9" i="3" s="1"/>
  <c r="E11" i="3"/>
  <c r="B11" i="3" s="1"/>
  <c r="E10" i="3"/>
  <c r="B10" i="3" s="1"/>
  <c r="E12" i="3"/>
  <c r="B12" i="3" s="1"/>
  <c r="E9" i="1"/>
  <c r="B9" i="1" s="1"/>
  <c r="E10" i="1"/>
  <c r="B10" i="1" s="1"/>
  <c r="E12" i="1"/>
  <c r="B12" i="1" s="1"/>
  <c r="E11" i="1"/>
  <c r="B11" i="1" s="1"/>
  <c r="D8" i="3" l="1"/>
  <c r="G8" i="3" s="1"/>
  <c r="D7" i="3"/>
  <c r="E7" i="3" s="1"/>
  <c r="D6" i="3"/>
  <c r="G6" i="3" s="1"/>
  <c r="D5" i="3"/>
  <c r="G5" i="3" s="1"/>
  <c r="D8" i="1"/>
  <c r="G8" i="1" s="1"/>
  <c r="D7" i="1"/>
  <c r="G7" i="1" s="1"/>
  <c r="D6" i="1"/>
  <c r="G6" i="1" s="1"/>
  <c r="D5" i="1"/>
  <c r="G5" i="1" s="1"/>
  <c r="E5" i="1" l="1"/>
  <c r="B5" i="1" s="1"/>
  <c r="E6" i="1"/>
  <c r="B6" i="1" s="1"/>
  <c r="E7" i="1"/>
  <c r="B7" i="1" s="1"/>
  <c r="E8" i="1"/>
  <c r="B8" i="1" s="1"/>
  <c r="E5" i="3"/>
  <c r="B5" i="3" s="1"/>
  <c r="G7" i="3"/>
  <c r="B7" i="3" s="1"/>
  <c r="E8" i="3"/>
  <c r="B8" i="3" s="1"/>
  <c r="E6" i="3"/>
  <c r="B6" i="3" s="1"/>
  <c r="A8" i="3" l="1"/>
  <c r="A7" i="3"/>
  <c r="A6" i="3"/>
  <c r="A6" i="1"/>
  <c r="A7" i="1" s="1"/>
  <c r="A8" i="1" s="1"/>
</calcChain>
</file>

<file path=xl/sharedStrings.xml><?xml version="1.0" encoding="utf-8"?>
<sst xmlns="http://schemas.openxmlformats.org/spreadsheetml/2006/main" count="58" uniqueCount="24">
  <si>
    <t>cd ..\</t>
    <phoneticPr fontId="1"/>
  </si>
  <si>
    <t>第①引数</t>
  </si>
  <si>
    <t>第②引数</t>
  </si>
  <si>
    <t>第③引数</t>
  </si>
  <si>
    <t>第④引数</t>
  </si>
  <si>
    <t>第⑤引数</t>
  </si>
  <si>
    <t>第⑥引数</t>
  </si>
  <si>
    <t>第⑦引数</t>
  </si>
  <si>
    <t>第⑧引数</t>
  </si>
  <si>
    <t>第⑨引数</t>
  </si>
  <si>
    <t>.\#output\</t>
  </si>
  <si>
    <t>TIME</t>
    <phoneticPr fontId="1"/>
  </si>
  <si>
    <t>開始日時</t>
    <rPh sb="0" eb="4">
      <t>カイシニチジ</t>
    </rPh>
    <phoneticPr fontId="1"/>
  </si>
  <si>
    <t>コマンド</t>
    <phoneticPr fontId="1"/>
  </si>
  <si>
    <t>時間間隔(hr)</t>
    <rPh sb="0" eb="4">
      <t>ジカンカンカク</t>
    </rPh>
    <phoneticPr fontId="1"/>
  </si>
  <si>
    <t>START</t>
    <phoneticPr fontId="1"/>
  </si>
  <si>
    <t>END</t>
    <phoneticPr fontId="1"/>
  </si>
  <si>
    <t>PATH</t>
    <phoneticPr fontId="1"/>
  </si>
  <si>
    <t>cd .\連続処理</t>
    <phoneticPr fontId="1"/>
  </si>
  <si>
    <t>MSM_GUID(〜2016)</t>
    <phoneticPr fontId="1"/>
  </si>
  <si>
    <t>MSM_GUID_nilim2017〜)</t>
    <phoneticPr fontId="1"/>
  </si>
  <si>
    <t>\\202.251.10.210\gpv\MSM_GUID_nilim</t>
    <phoneticPr fontId="1"/>
  </si>
  <si>
    <t>\\202.251.10.210\gpv\MSM_GUID</t>
    <phoneticPr fontId="1"/>
  </si>
  <si>
    <t>del .\#input\*.bin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</si>
</sst>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">
    <xf numFmtId="0" fontId="0" fillId="0" borderId="0" xfId="0"/>
    <xf numFmtId="22" fontId="0" fillId="0" borderId="0" xfId="0" applyNumberFormat="1"/>
    <xf numFmtId="0" fontId="0" fillId="3" borderId="0" xfId="0" applyFill="1" applyAlignment="1">
      <alignment horizontal="center"/>
    </xf>
    <xf numFmtId="0" fontId="0" fillId="3" borderId="0" xfId="0" applyFill="1"/>
    <xf numFmtId="0" fontId="0" fillId="0" borderId="1" xfId="0" applyBorder="1"/>
    <xf numFmtId="14" fontId="0" fillId="0" borderId="1" xfId="0" applyNumberFormat="1" applyBorder="1"/>
    <xf numFmtId="14" fontId="0" fillId="2" borderId="0" xfId="0" applyNumberFormat="1" applyFill="1"/>
    <xf numFmtId="0" fontId="2" fillId="0" borderId="1" xfId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5</xdr:col>
      <xdr:colOff>523875</xdr:colOff>
      <xdr:row>4</xdr:row>
      <xdr:rowOff>95251</xdr:rowOff>
    </xdr:to>
    <xdr:sp macro="[0]!MSM_GUID" textlink="">
      <xdr:nvSpPr>
        <xdr:cNvPr id="4" name="正方形/長方形 3">
          <a:extLst>
            <a:ext uri="{FF2B5EF4-FFF2-40B4-BE49-F238E27FC236}">
              <a16:creationId xmlns:a16="http://schemas.microsoft.com/office/drawing/2014/main" id="{323744E1-4CAB-4B84-9401-C374BA53776C}"/>
            </a:ext>
          </a:extLst>
        </xdr:cNvPr>
        <xdr:cNvSpPr/>
      </xdr:nvSpPr>
      <xdr:spPr>
        <a:xfrm>
          <a:off x="5067300" y="476250"/>
          <a:ext cx="1209675" cy="571501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バッチ作成</a:t>
          </a:r>
          <a:endParaRPr kumimoji="1" lang="en-US" altLang="ja-JP" sz="1100"/>
        </a:p>
        <a:p>
          <a:pPr algn="ctr"/>
          <a:r>
            <a:rPr kumimoji="1" lang="en-US" altLang="ja-JP" sz="1100"/>
            <a:t>MSM_GUID</a:t>
          </a:r>
          <a:endParaRPr kumimoji="1" lang="ja-JP" altLang="en-US" sz="1100"/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523875</xdr:colOff>
      <xdr:row>9</xdr:row>
      <xdr:rowOff>95251</xdr:rowOff>
    </xdr:to>
    <xdr:sp macro="[0]!MSM_GUID_nilim" textlink="">
      <xdr:nvSpPr>
        <xdr:cNvPr id="5" name="正方形/長方形 4">
          <a:extLst>
            <a:ext uri="{FF2B5EF4-FFF2-40B4-BE49-F238E27FC236}">
              <a16:creationId xmlns:a16="http://schemas.microsoft.com/office/drawing/2014/main" id="{4FA1400A-4DA8-40D0-BDAD-5EACA8DFAC42}"/>
            </a:ext>
          </a:extLst>
        </xdr:cNvPr>
        <xdr:cNvSpPr/>
      </xdr:nvSpPr>
      <xdr:spPr>
        <a:xfrm>
          <a:off x="5067300" y="1666875"/>
          <a:ext cx="1209675" cy="571501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バッチ作成</a:t>
          </a:r>
          <a:endParaRPr kumimoji="1" lang="en-US" altLang="ja-JP" sz="1100"/>
        </a:p>
        <a:p>
          <a:pPr algn="ctr"/>
          <a:r>
            <a:rPr kumimoji="1" lang="en-US" altLang="ja-JP" sz="1100"/>
            <a:t>MSM_GUID_nilim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202.251.10.210\gpv\MSM_GUID" TargetMode="External"/><Relationship Id="rId1" Type="http://schemas.openxmlformats.org/officeDocument/2006/relationships/hyperlink" Target="file:///\\202.251.10.210\gpv\MSM_GUID_nilim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1BE9F-0F96-495E-9658-626A7FDBB5F8}">
  <sheetPr codeName="Sheet1"/>
  <dimension ref="B2:C10"/>
  <sheetViews>
    <sheetView tabSelected="1" workbookViewId="0">
      <selection activeCell="M4" sqref="M4"/>
    </sheetView>
  </sheetViews>
  <sheetFormatPr defaultRowHeight="18.75"/>
  <cols>
    <col min="3" max="3" width="39.5" bestFit="1" customWidth="1"/>
    <col min="6" max="6" width="11.375" bestFit="1" customWidth="1"/>
  </cols>
  <sheetData>
    <row r="2" spans="2:3">
      <c r="B2" s="8" t="s">
        <v>19</v>
      </c>
      <c r="C2" s="9"/>
    </row>
    <row r="3" spans="2:3">
      <c r="B3" s="4" t="s">
        <v>15</v>
      </c>
      <c r="C3" s="5">
        <v>41702</v>
      </c>
    </row>
    <row r="4" spans="2:3">
      <c r="B4" s="4" t="s">
        <v>16</v>
      </c>
      <c r="C4" s="5">
        <v>42735</v>
      </c>
    </row>
    <row r="5" spans="2:3">
      <c r="B5" s="4" t="s">
        <v>17</v>
      </c>
      <c r="C5" s="7" t="s">
        <v>22</v>
      </c>
    </row>
    <row r="7" spans="2:3">
      <c r="B7" s="8" t="s">
        <v>20</v>
      </c>
      <c r="C7" s="9"/>
    </row>
    <row r="8" spans="2:3">
      <c r="B8" s="4" t="s">
        <v>15</v>
      </c>
      <c r="C8" s="5">
        <v>42736</v>
      </c>
    </row>
    <row r="9" spans="2:3">
      <c r="B9" s="4" t="s">
        <v>16</v>
      </c>
      <c r="C9" s="5">
        <v>43830</v>
      </c>
    </row>
    <row r="10" spans="2:3">
      <c r="B10" s="4" t="s">
        <v>17</v>
      </c>
      <c r="C10" s="7" t="s">
        <v>21</v>
      </c>
    </row>
  </sheetData>
  <mergeCells count="2">
    <mergeCell ref="B2:C2"/>
    <mergeCell ref="B7:C7"/>
  </mergeCells>
  <phoneticPr fontId="1"/>
  <hyperlinks>
    <hyperlink ref="C10" r:id="rId1" xr:uid="{A6FCA42F-39F0-431A-9C0F-B150099C9323}"/>
    <hyperlink ref="C5" r:id="rId2" xr:uid="{738DECE5-3374-4DB9-B57A-DD4382B976E6}"/>
  </hyperlinks>
  <pageMargins left="0.7" right="0.7" top="0.75" bottom="0.75" header="0.3" footer="0.3"/>
  <pageSetup paperSize="9"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17"/>
  <sheetViews>
    <sheetView workbookViewId="0">
      <selection activeCell="B5" sqref="B5:B12"/>
    </sheetView>
  </sheetViews>
  <sheetFormatPr defaultRowHeight="18.75"/>
  <cols>
    <col min="2" max="2" width="12.125" customWidth="1"/>
    <col min="3" max="4" width="15.875" bestFit="1" customWidth="1"/>
    <col min="5" max="5" width="75.875" customWidth="1"/>
    <col min="7" max="7" width="26.375" customWidth="1"/>
  </cols>
  <sheetData>
    <row r="1" spans="1:13">
      <c r="B1" t="s">
        <v>12</v>
      </c>
      <c r="C1" s="6">
        <v>42735</v>
      </c>
    </row>
    <row r="2" spans="1:13">
      <c r="B2" t="s">
        <v>14</v>
      </c>
      <c r="C2">
        <v>3</v>
      </c>
    </row>
    <row r="3" spans="1:13">
      <c r="B3" s="3" t="s">
        <v>13</v>
      </c>
      <c r="C3" s="3"/>
      <c r="D3" s="2" t="s">
        <v>11</v>
      </c>
      <c r="E3" s="2" t="s">
        <v>1</v>
      </c>
      <c r="F3" s="2" t="s">
        <v>2</v>
      </c>
      <c r="G3" s="2" t="s">
        <v>3</v>
      </c>
      <c r="H3" s="2" t="s">
        <v>4</v>
      </c>
      <c r="I3" s="2" t="s">
        <v>5</v>
      </c>
      <c r="J3" s="2" t="s">
        <v>6</v>
      </c>
      <c r="K3" s="2" t="s">
        <v>7</v>
      </c>
      <c r="L3" s="2" t="s">
        <v>8</v>
      </c>
      <c r="M3" s="2" t="s">
        <v>9</v>
      </c>
    </row>
    <row r="4" spans="1:13">
      <c r="B4" t="s">
        <v>0</v>
      </c>
      <c r="D4" s="2"/>
      <c r="E4" s="2"/>
      <c r="F4" s="2"/>
      <c r="G4" s="2"/>
      <c r="H4" s="2"/>
      <c r="I4" s="2"/>
      <c r="J4" s="2"/>
      <c r="K4" s="2"/>
      <c r="L4" s="2"/>
      <c r="M4" s="2"/>
    </row>
    <row r="5" spans="1:13">
      <c r="A5">
        <v>0</v>
      </c>
      <c r="B5" t="str">
        <f>".\grib2decode4.exe "&amp;E5&amp;" "&amp;F5&amp;" "&amp;G5&amp;" "&amp;H5&amp;" "&amp;I5&amp;" "&amp;J5&amp;" "&amp;K5&amp;" "&amp;L5&amp;" "&amp;M5&amp; "    &gt;&gt;log.bat"</f>
        <v>.\grib2decode4.exe .\#input\Z__C_RJTD_20161231000000_MSM_GUID_Rjp_P-all_FH03-39_Toorg_grib2.bin .\#output\ MSM_GUID_20161231000000 0 259 267 260 269 152    &gt;&gt;log.bat</v>
      </c>
      <c r="D5" s="1">
        <f>$C$1+TIME(A5*$C$2,0,0)</f>
        <v>42735</v>
      </c>
      <c r="E5" t="str">
        <f>".\#input\Z__C_RJTD_"&amp;YEAR(D5)&amp;TEXT(MONTH(D5),"00")&amp;TEXT(DAY(D5),"00")&amp;TEXT(HOUR(D5),"00")&amp;TEXT(MINUTE(D5),"00")&amp;TEXT(SECOND(D5),"00")&amp;"_MSM_GUID_Rjp_P-all_FH03-39_Toorg_grib2.bin"</f>
        <v>.\#input\Z__C_RJTD_20161231000000_MSM_GUID_Rjp_P-all_FH03-39_Toorg_grib2.bin</v>
      </c>
      <c r="F5" t="s">
        <v>10</v>
      </c>
      <c r="G5" t="str">
        <f>"MSM_GUID_"&amp;YEAR(D5)&amp;TEXT(MONTH(D5),"00")&amp;TEXT(DAY(D5),"00")&amp;TEXT(HOUR(D5),"00")&amp;TEXT(MINUTE(D5),"00")&amp;TEXT(SECOND(D5),"00")</f>
        <v>MSM_GUID_20161231000000</v>
      </c>
      <c r="H5">
        <v>0</v>
      </c>
      <c r="I5">
        <v>259</v>
      </c>
      <c r="J5">
        <v>267</v>
      </c>
      <c r="K5">
        <v>260</v>
      </c>
      <c r="L5">
        <v>269</v>
      </c>
      <c r="M5">
        <v>152</v>
      </c>
    </row>
    <row r="6" spans="1:13">
      <c r="A6">
        <f>A5+1</f>
        <v>1</v>
      </c>
      <c r="B6" t="str">
        <f t="shared" ref="B6:B12" si="0">".\grib2decode4.exe "&amp;E6&amp;" "&amp;F6&amp;" "&amp;G6&amp;" "&amp;H6&amp;" "&amp;I6&amp;" "&amp;J6&amp;" "&amp;K6&amp;" "&amp;L6&amp;" "&amp;M6&amp; "    &gt;&gt;log.bat"</f>
        <v>.\grib2decode4.exe .\#input\Z__C_RJTD_20161231030000_MSM_GUID_Rjp_P-all_FH03-39_Toorg_grib2.bin .\#output\ MSM_GUID_20161231030000 0 259 267 260 269 152    &gt;&gt;log.bat</v>
      </c>
      <c r="D6" s="1">
        <f>$C$1+TIME(A6*$C$2,0,0)</f>
        <v>42735.125</v>
      </c>
      <c r="E6" t="str">
        <f t="shared" ref="E6:E12" si="1">".\#input\Z__C_RJTD_"&amp;YEAR(D6)&amp;TEXT(MONTH(D6),"00")&amp;TEXT(DAY(D6),"00")&amp;TEXT(HOUR(D6),"00")&amp;TEXT(MINUTE(D6),"00")&amp;TEXT(SECOND(D6),"00")&amp;"_MSM_GUID_Rjp_P-all_FH03-39_Toorg_grib2.bin"</f>
        <v>.\#input\Z__C_RJTD_20161231030000_MSM_GUID_Rjp_P-all_FH03-39_Toorg_grib2.bin</v>
      </c>
      <c r="F6" t="s">
        <v>10</v>
      </c>
      <c r="G6" t="str">
        <f>"MSM_GUID_"&amp;YEAR(D6)&amp;TEXT(MONTH(D6),"00")&amp;TEXT(DAY(D6),"00")&amp;TEXT(HOUR(D6),"00")&amp;TEXT(MINUTE(D6),"00")&amp;TEXT(SECOND(D6),"00")</f>
        <v>MSM_GUID_20161231030000</v>
      </c>
      <c r="H6">
        <v>0</v>
      </c>
      <c r="I6">
        <v>259</v>
      </c>
      <c r="J6">
        <v>267</v>
      </c>
      <c r="K6">
        <v>260</v>
      </c>
      <c r="L6">
        <v>269</v>
      </c>
      <c r="M6">
        <v>152</v>
      </c>
    </row>
    <row r="7" spans="1:13">
      <c r="A7">
        <f t="shared" ref="A7:A12" si="2">A6+1</f>
        <v>2</v>
      </c>
      <c r="B7" t="str">
        <f t="shared" si="0"/>
        <v>.\grib2decode4.exe .\#input\Z__C_RJTD_20161231060000_MSM_GUID_Rjp_P-all_FH03-39_Toorg_grib2.bin .\#output\ MSM_GUID_20161231060000 0 259 267 260 269 152    &gt;&gt;log.bat</v>
      </c>
      <c r="D7" s="1">
        <f>$C$1+TIME(A7*$C$2,0,0)</f>
        <v>42735.25</v>
      </c>
      <c r="E7" t="str">
        <f t="shared" si="1"/>
        <v>.\#input\Z__C_RJTD_20161231060000_MSM_GUID_Rjp_P-all_FH03-39_Toorg_grib2.bin</v>
      </c>
      <c r="F7" t="s">
        <v>10</v>
      </c>
      <c r="G7" t="str">
        <f>"MSM_GUID_"&amp;YEAR(D7)&amp;TEXT(MONTH(D7),"00")&amp;TEXT(DAY(D7),"00")&amp;TEXT(HOUR(D7),"00")&amp;TEXT(MINUTE(D7),"00")&amp;TEXT(SECOND(D7),"00")</f>
        <v>MSM_GUID_20161231060000</v>
      </c>
      <c r="H7">
        <v>0</v>
      </c>
      <c r="I7">
        <v>259</v>
      </c>
      <c r="J7">
        <v>267</v>
      </c>
      <c r="K7">
        <v>260</v>
      </c>
      <c r="L7">
        <v>269</v>
      </c>
      <c r="M7">
        <v>152</v>
      </c>
    </row>
    <row r="8" spans="1:13">
      <c r="A8">
        <f t="shared" si="2"/>
        <v>3</v>
      </c>
      <c r="B8" t="str">
        <f t="shared" si="0"/>
        <v>.\grib2decode4.exe .\#input\Z__C_RJTD_20161231090000_MSM_GUID_Rjp_P-all_FH03-39_Toorg_grib2.bin .\#output\ MSM_GUID_20161231090000 0 259 267 260 269 152    &gt;&gt;log.bat</v>
      </c>
      <c r="D8" s="1">
        <f>$C$1+TIME(A8*$C$2,0,0)</f>
        <v>42735.375</v>
      </c>
      <c r="E8" t="str">
        <f t="shared" si="1"/>
        <v>.\#input\Z__C_RJTD_20161231090000_MSM_GUID_Rjp_P-all_FH03-39_Toorg_grib2.bin</v>
      </c>
      <c r="F8" t="s">
        <v>10</v>
      </c>
      <c r="G8" t="str">
        <f>"MSM_GUID_"&amp;YEAR(D8)&amp;TEXT(MONTH(D8),"00")&amp;TEXT(DAY(D8),"00")&amp;TEXT(HOUR(D8),"00")&amp;TEXT(MINUTE(D8),"00")&amp;TEXT(SECOND(D8),"00")</f>
        <v>MSM_GUID_20161231090000</v>
      </c>
      <c r="H8">
        <v>0</v>
      </c>
      <c r="I8">
        <v>259</v>
      </c>
      <c r="J8">
        <v>267</v>
      </c>
      <c r="K8">
        <v>260</v>
      </c>
      <c r="L8">
        <v>269</v>
      </c>
      <c r="M8">
        <v>152</v>
      </c>
    </row>
    <row r="9" spans="1:13">
      <c r="A9">
        <f t="shared" si="2"/>
        <v>4</v>
      </c>
      <c r="B9" t="str">
        <f t="shared" si="0"/>
        <v>.\grib2decode4.exe .\#input\Z__C_RJTD_20161231120000_MSM_GUID_Rjp_P-all_FH03-39_Toorg_grib2.bin .\#output\ MSM_GUID_20161231120000 0 259 267 260 269 152    &gt;&gt;log.bat</v>
      </c>
      <c r="D9" s="1">
        <f t="shared" ref="D9:D12" si="3">$C$1+TIME(A9*$C$2,0,0)</f>
        <v>42735.5</v>
      </c>
      <c r="E9" t="str">
        <f t="shared" si="1"/>
        <v>.\#input\Z__C_RJTD_20161231120000_MSM_GUID_Rjp_P-all_FH03-39_Toorg_grib2.bin</v>
      </c>
      <c r="F9" t="s">
        <v>10</v>
      </c>
      <c r="G9" t="str">
        <f t="shared" ref="G9:G12" si="4">"MSM_GUID_"&amp;YEAR(D9)&amp;TEXT(MONTH(D9),"00")&amp;TEXT(DAY(D9),"00")&amp;TEXT(HOUR(D9),"00")&amp;TEXT(MINUTE(D9),"00")&amp;TEXT(SECOND(D9),"00")</f>
        <v>MSM_GUID_20161231120000</v>
      </c>
      <c r="H9">
        <v>0</v>
      </c>
      <c r="I9">
        <v>259</v>
      </c>
      <c r="J9">
        <v>267</v>
      </c>
      <c r="K9">
        <v>260</v>
      </c>
      <c r="L9">
        <v>269</v>
      </c>
      <c r="M9">
        <v>152</v>
      </c>
    </row>
    <row r="10" spans="1:13">
      <c r="A10">
        <f t="shared" si="2"/>
        <v>5</v>
      </c>
      <c r="B10" t="str">
        <f t="shared" si="0"/>
        <v>.\grib2decode4.exe .\#input\Z__C_RJTD_20161231150000_MSM_GUID_Rjp_P-all_FH03-39_Toorg_grib2.bin .\#output\ MSM_GUID_20161231150000 0 259 267 260 269 152    &gt;&gt;log.bat</v>
      </c>
      <c r="D10" s="1">
        <f t="shared" si="3"/>
        <v>42735.625</v>
      </c>
      <c r="E10" t="str">
        <f t="shared" si="1"/>
        <v>.\#input\Z__C_RJTD_20161231150000_MSM_GUID_Rjp_P-all_FH03-39_Toorg_grib2.bin</v>
      </c>
      <c r="F10" t="s">
        <v>10</v>
      </c>
      <c r="G10" t="str">
        <f t="shared" si="4"/>
        <v>MSM_GUID_20161231150000</v>
      </c>
      <c r="H10">
        <v>0</v>
      </c>
      <c r="I10">
        <v>259</v>
      </c>
      <c r="J10">
        <v>267</v>
      </c>
      <c r="K10">
        <v>260</v>
      </c>
      <c r="L10">
        <v>269</v>
      </c>
      <c r="M10">
        <v>152</v>
      </c>
    </row>
    <row r="11" spans="1:13">
      <c r="A11">
        <f t="shared" si="2"/>
        <v>6</v>
      </c>
      <c r="B11" t="str">
        <f t="shared" si="0"/>
        <v>.\grib2decode4.exe .\#input\Z__C_RJTD_20161231180000_MSM_GUID_Rjp_P-all_FH03-39_Toorg_grib2.bin .\#output\ MSM_GUID_20161231180000 0 259 267 260 269 152    &gt;&gt;log.bat</v>
      </c>
      <c r="D11" s="1">
        <f t="shared" si="3"/>
        <v>42735.75</v>
      </c>
      <c r="E11" t="str">
        <f t="shared" si="1"/>
        <v>.\#input\Z__C_RJTD_20161231180000_MSM_GUID_Rjp_P-all_FH03-39_Toorg_grib2.bin</v>
      </c>
      <c r="F11" t="s">
        <v>10</v>
      </c>
      <c r="G11" t="str">
        <f t="shared" si="4"/>
        <v>MSM_GUID_20161231180000</v>
      </c>
      <c r="H11">
        <v>0</v>
      </c>
      <c r="I11">
        <v>259</v>
      </c>
      <c r="J11">
        <v>267</v>
      </c>
      <c r="K11">
        <v>260</v>
      </c>
      <c r="L11">
        <v>269</v>
      </c>
      <c r="M11">
        <v>152</v>
      </c>
    </row>
    <row r="12" spans="1:13">
      <c r="A12">
        <f t="shared" si="2"/>
        <v>7</v>
      </c>
      <c r="B12" t="str">
        <f t="shared" si="0"/>
        <v>.\grib2decode4.exe .\#input\Z__C_RJTD_20161231210000_MSM_GUID_Rjp_P-all_FH03-39_Toorg_grib2.bin .\#output\ MSM_GUID_20161231210000 0 259 267 260 269 152    &gt;&gt;log.bat</v>
      </c>
      <c r="D12" s="1">
        <f t="shared" si="3"/>
        <v>42735.875</v>
      </c>
      <c r="E12" t="str">
        <f t="shared" si="1"/>
        <v>.\#input\Z__C_RJTD_20161231210000_MSM_GUID_Rjp_P-all_FH03-39_Toorg_grib2.bin</v>
      </c>
      <c r="F12" t="s">
        <v>10</v>
      </c>
      <c r="G12" t="str">
        <f t="shared" si="4"/>
        <v>MSM_GUID_20161231210000</v>
      </c>
      <c r="H12">
        <v>0</v>
      </c>
      <c r="I12">
        <v>259</v>
      </c>
      <c r="J12">
        <v>267</v>
      </c>
      <c r="K12">
        <v>260</v>
      </c>
      <c r="L12">
        <v>269</v>
      </c>
      <c r="M12">
        <v>152</v>
      </c>
    </row>
    <row r="13" spans="1:13">
      <c r="B13" t="s">
        <v>23</v>
      </c>
      <c r="D13" s="1"/>
    </row>
    <row r="14" spans="1:13">
      <c r="B14" t="s">
        <v>18</v>
      </c>
      <c r="D14" s="1"/>
    </row>
    <row r="15" spans="1:13">
      <c r="D15" s="1"/>
    </row>
    <row r="16" spans="1:13">
      <c r="D16" s="1"/>
    </row>
    <row r="17" spans="4:4">
      <c r="D17" s="1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0C388-B31F-4187-98F9-F79EAD9D80DB}">
  <sheetPr codeName="Sheet3"/>
  <dimension ref="A1:M17"/>
  <sheetViews>
    <sheetView workbookViewId="0">
      <selection activeCell="B10" sqref="B10"/>
    </sheetView>
  </sheetViews>
  <sheetFormatPr defaultRowHeight="18.75"/>
  <cols>
    <col min="2" max="2" width="12.125" customWidth="1"/>
    <col min="3" max="4" width="15.875" bestFit="1" customWidth="1"/>
    <col min="5" max="5" width="75.875" customWidth="1"/>
    <col min="7" max="7" width="26.375" customWidth="1"/>
  </cols>
  <sheetData>
    <row r="1" spans="1:13">
      <c r="B1" t="s">
        <v>12</v>
      </c>
      <c r="C1" s="6">
        <v>43830</v>
      </c>
    </row>
    <row r="2" spans="1:13">
      <c r="B2" t="s">
        <v>14</v>
      </c>
      <c r="C2">
        <v>6</v>
      </c>
    </row>
    <row r="3" spans="1:13">
      <c r="B3" s="3" t="s">
        <v>13</v>
      </c>
      <c r="C3" s="3"/>
      <c r="D3" s="2" t="s">
        <v>11</v>
      </c>
      <c r="E3" s="2" t="s">
        <v>1</v>
      </c>
      <c r="F3" s="2" t="s">
        <v>2</v>
      </c>
      <c r="G3" s="2" t="s">
        <v>3</v>
      </c>
      <c r="H3" s="2" t="s">
        <v>4</v>
      </c>
      <c r="I3" s="2" t="s">
        <v>5</v>
      </c>
      <c r="J3" s="2" t="s">
        <v>6</v>
      </c>
      <c r="K3" s="2" t="s">
        <v>7</v>
      </c>
      <c r="L3" s="2" t="s">
        <v>8</v>
      </c>
      <c r="M3" s="2" t="s">
        <v>9</v>
      </c>
    </row>
    <row r="4" spans="1:13">
      <c r="B4" t="s">
        <v>0</v>
      </c>
      <c r="D4" s="2"/>
      <c r="E4" s="2"/>
      <c r="F4" s="2"/>
      <c r="G4" s="2"/>
      <c r="H4" s="2"/>
      <c r="I4" s="2"/>
      <c r="J4" s="2"/>
      <c r="K4" s="2"/>
      <c r="L4" s="2"/>
      <c r="M4" s="2"/>
    </row>
    <row r="5" spans="1:13">
      <c r="A5">
        <v>0</v>
      </c>
      <c r="B5" t="str">
        <f>".\grib2decode4.exe "&amp;E5&amp;" "&amp;F5&amp;" "&amp;G5&amp;" "&amp;H5&amp;" "&amp;I5&amp;" "&amp;J5&amp;" "&amp;K5&amp;" "&amp;L5&amp;" "&amp;M5&amp; "    &gt;&gt;log_nlim.bat"</f>
        <v>.\grib2decode4.exe .\#input\Z__C_RJTD_20191231000000_MSM_GUID_Rjp_Prr_FH03-39_Tnilim_grib2.bin .\#output\ MSM_GUID_20191231000000 0 259 267 260 269 152    &gt;&gt;log_nlim.bat</v>
      </c>
      <c r="D5" s="1">
        <f>$C$1+TIME(A5*$C$2,0,0)</f>
        <v>43830</v>
      </c>
      <c r="E5" t="str">
        <f>".\#input\Z__C_RJTD_"&amp;YEAR(D5)&amp;TEXT(MONTH(D5),"00")&amp;TEXT(DAY(D5),"00")&amp;TEXT(HOUR(D5),"00")&amp;TEXT(MINUTE(D5),"00")&amp;TEXT(SECOND(D5),"00")&amp;"_MSM_GUID_Rjp_Prr_FH03-39_Tnilim_grib2.bin"</f>
        <v>.\#input\Z__C_RJTD_20191231000000_MSM_GUID_Rjp_Prr_FH03-39_Tnilim_grib2.bin</v>
      </c>
      <c r="F5" t="s">
        <v>10</v>
      </c>
      <c r="G5" t="str">
        <f>"MSM_GUID_"&amp;YEAR(D5)&amp;TEXT(MONTH(D5),"00")&amp;TEXT(DAY(D5),"00")&amp;TEXT(HOUR(D5),"00")&amp;TEXT(MINUTE(D5),"00")&amp;TEXT(SECOND(D5),"00")</f>
        <v>MSM_GUID_20191231000000</v>
      </c>
      <c r="H5">
        <v>0</v>
      </c>
      <c r="I5">
        <v>259</v>
      </c>
      <c r="J5">
        <v>267</v>
      </c>
      <c r="K5">
        <v>260</v>
      </c>
      <c r="L5">
        <v>269</v>
      </c>
      <c r="M5">
        <v>152</v>
      </c>
    </row>
    <row r="6" spans="1:13">
      <c r="A6">
        <f>A5+1</f>
        <v>1</v>
      </c>
      <c r="B6" t="str">
        <f t="shared" ref="B6:B12" si="0">".\grib2decode4.exe "&amp;E6&amp;" "&amp;F6&amp;" "&amp;G6&amp;" "&amp;H6&amp;" "&amp;I6&amp;" "&amp;J6&amp;" "&amp;K6&amp;" "&amp;L6&amp;" "&amp;M6&amp; "    &gt;&gt;log_nlim.bat"</f>
        <v>.\grib2decode4.exe .\#input\Z__C_RJTD_20191231060000_MSM_GUID_Rjp_Prr_FH03-39_Tnilim_grib2.bin .\#output\ MSM_GUID_20191231060000 0 259 267 260 269 152    &gt;&gt;log_nlim.bat</v>
      </c>
      <c r="D6" s="1">
        <f>$C$1+TIME(A6*$C$2,0,0)</f>
        <v>43830.25</v>
      </c>
      <c r="E6" t="str">
        <f>".\#input\Z__C_RJTD_"&amp;YEAR(D6)&amp;TEXT(MONTH(D6),"00")&amp;TEXT(DAY(D6),"00")&amp;TEXT(HOUR(D6),"00")&amp;TEXT(MINUTE(D6),"00")&amp;TEXT(SECOND(D6),"00")&amp;"_MSM_GUID_Rjp_Prr_FH03-39_Tnilim_grib2.bin"</f>
        <v>.\#input\Z__C_RJTD_20191231060000_MSM_GUID_Rjp_Prr_FH03-39_Tnilim_grib2.bin</v>
      </c>
      <c r="F6" t="s">
        <v>10</v>
      </c>
      <c r="G6" t="str">
        <f>"MSM_GUID_"&amp;YEAR(D6)&amp;TEXT(MONTH(D6),"00")&amp;TEXT(DAY(D6),"00")&amp;TEXT(HOUR(D6),"00")&amp;TEXT(MINUTE(D6),"00")&amp;TEXT(SECOND(D6),"00")</f>
        <v>MSM_GUID_20191231060000</v>
      </c>
      <c r="H6">
        <v>0</v>
      </c>
      <c r="I6">
        <v>259</v>
      </c>
      <c r="J6">
        <v>267</v>
      </c>
      <c r="K6">
        <v>260</v>
      </c>
      <c r="L6">
        <v>269</v>
      </c>
      <c r="M6">
        <v>152</v>
      </c>
    </row>
    <row r="7" spans="1:13">
      <c r="A7">
        <f t="shared" ref="A7:A12" si="1">A6+1</f>
        <v>2</v>
      </c>
      <c r="B7" t="str">
        <f t="shared" si="0"/>
        <v>.\grib2decode4.exe .\#input\Z__C_RJTD_20191231120000_MSM_GUID_Rjp_Prr_FH03-39_Tnilim_grib2.bin .\#output\ MSM_GUID_20191231120000 0 259 267 260 269 152    &gt;&gt;log_nlim.bat</v>
      </c>
      <c r="D7" s="1">
        <f>$C$1+TIME(A7*$C$2,0,0)</f>
        <v>43830.5</v>
      </c>
      <c r="E7" t="str">
        <f>".\#input\Z__C_RJTD_"&amp;YEAR(D7)&amp;TEXT(MONTH(D7),"00")&amp;TEXT(DAY(D7),"00")&amp;TEXT(HOUR(D7),"00")&amp;TEXT(MINUTE(D7),"00")&amp;TEXT(SECOND(D7),"00")&amp;"_MSM_GUID_Rjp_Prr_FH03-39_Tnilim_grib2.bin"</f>
        <v>.\#input\Z__C_RJTD_20191231120000_MSM_GUID_Rjp_Prr_FH03-39_Tnilim_grib2.bin</v>
      </c>
      <c r="F7" t="s">
        <v>10</v>
      </c>
      <c r="G7" t="str">
        <f>"MSM_GUID_"&amp;YEAR(D7)&amp;TEXT(MONTH(D7),"00")&amp;TEXT(DAY(D7),"00")&amp;TEXT(HOUR(D7),"00")&amp;TEXT(MINUTE(D7),"00")&amp;TEXT(SECOND(D7),"00")</f>
        <v>MSM_GUID_20191231120000</v>
      </c>
      <c r="H7">
        <v>0</v>
      </c>
      <c r="I7">
        <v>259</v>
      </c>
      <c r="J7">
        <v>267</v>
      </c>
      <c r="K7">
        <v>260</v>
      </c>
      <c r="L7">
        <v>269</v>
      </c>
      <c r="M7">
        <v>152</v>
      </c>
    </row>
    <row r="8" spans="1:13">
      <c r="A8">
        <f t="shared" si="1"/>
        <v>3</v>
      </c>
      <c r="B8" t="str">
        <f t="shared" si="0"/>
        <v>.\grib2decode4.exe .\#input\Z__C_RJTD_20191231180000_MSM_GUID_Rjp_Prr_FH03-39_Tnilim_grib2.bin .\#output\ MSM_GUID_20191231180000 0 259 267 260 269 152    &gt;&gt;log_nlim.bat</v>
      </c>
      <c r="D8" s="1">
        <f>$C$1+TIME(A8*$C$2,0,0)</f>
        <v>43830.75</v>
      </c>
      <c r="E8" t="str">
        <f>".\#input\Z__C_RJTD_"&amp;YEAR(D8)&amp;TEXT(MONTH(D8),"00")&amp;TEXT(DAY(D8),"00")&amp;TEXT(HOUR(D8),"00")&amp;TEXT(MINUTE(D8),"00")&amp;TEXT(SECOND(D8),"00")&amp;"_MSM_GUID_Rjp_Prr_FH03-39_Tnilim_grib2.bin"</f>
        <v>.\#input\Z__C_RJTD_20191231180000_MSM_GUID_Rjp_Prr_FH03-39_Tnilim_grib2.bin</v>
      </c>
      <c r="F8" t="s">
        <v>10</v>
      </c>
      <c r="G8" t="str">
        <f>"MSM_GUID_"&amp;YEAR(D8)&amp;TEXT(MONTH(D8),"00")&amp;TEXT(DAY(D8),"00")&amp;TEXT(HOUR(D8),"00")&amp;TEXT(MINUTE(D8),"00")&amp;TEXT(SECOND(D8),"00")</f>
        <v>MSM_GUID_20191231180000</v>
      </c>
      <c r="H8">
        <v>0</v>
      </c>
      <c r="I8">
        <v>259</v>
      </c>
      <c r="J8">
        <v>267</v>
      </c>
      <c r="K8">
        <v>260</v>
      </c>
      <c r="L8">
        <v>269</v>
      </c>
      <c r="M8">
        <v>152</v>
      </c>
    </row>
    <row r="9" spans="1:13">
      <c r="A9">
        <f t="shared" si="1"/>
        <v>4</v>
      </c>
      <c r="B9" t="str">
        <f t="shared" si="0"/>
        <v>.\grib2decode4.exe .\#input\Z__C_RJTD_20191231000000_MSM_GUID_Rjp_Prr_FH03-39_Tnilim_grib2.bin .\#output\ MSM_GUID_20191231000000 0 259 267 260 269 152    &gt;&gt;log_nlim.bat</v>
      </c>
      <c r="D9" s="1">
        <f t="shared" ref="D9:D12" si="2">$C$1+TIME(A9*$C$2,0,0)</f>
        <v>43830</v>
      </c>
      <c r="E9" t="str">
        <f t="shared" ref="E9:E12" si="3">".\#input\Z__C_RJTD_"&amp;YEAR(D9)&amp;TEXT(MONTH(D9),"00")&amp;TEXT(DAY(D9),"00")&amp;TEXT(HOUR(D9),"00")&amp;TEXT(MINUTE(D9),"00")&amp;TEXT(SECOND(D9),"00")&amp;"_MSM_GUID_Rjp_Prr_FH03-39_Tnilim_grib2.bin"</f>
        <v>.\#input\Z__C_RJTD_20191231000000_MSM_GUID_Rjp_Prr_FH03-39_Tnilim_grib2.bin</v>
      </c>
      <c r="F9" t="s">
        <v>10</v>
      </c>
      <c r="G9" t="str">
        <f t="shared" ref="G9:G12" si="4">"MSM_GUID_"&amp;YEAR(D9)&amp;TEXT(MONTH(D9),"00")&amp;TEXT(DAY(D9),"00")&amp;TEXT(HOUR(D9),"00")&amp;TEXT(MINUTE(D9),"00")&amp;TEXT(SECOND(D9),"00")</f>
        <v>MSM_GUID_20191231000000</v>
      </c>
      <c r="H9">
        <v>0</v>
      </c>
      <c r="I9">
        <v>259</v>
      </c>
      <c r="J9">
        <v>267</v>
      </c>
      <c r="K9">
        <v>260</v>
      </c>
      <c r="L9">
        <v>269</v>
      </c>
      <c r="M9">
        <v>152</v>
      </c>
    </row>
    <row r="10" spans="1:13">
      <c r="A10">
        <f t="shared" si="1"/>
        <v>5</v>
      </c>
      <c r="B10" t="str">
        <f t="shared" si="0"/>
        <v>.\grib2decode4.exe .\#input\Z__C_RJTD_20191231060000_MSM_GUID_Rjp_Prr_FH03-39_Tnilim_grib2.bin .\#output\ MSM_GUID_20191231060000 0 259 267 260 269 152    &gt;&gt;log_nlim.bat</v>
      </c>
      <c r="D10" s="1">
        <f t="shared" si="2"/>
        <v>43830.25</v>
      </c>
      <c r="E10" t="str">
        <f t="shared" si="3"/>
        <v>.\#input\Z__C_RJTD_20191231060000_MSM_GUID_Rjp_Prr_FH03-39_Tnilim_grib2.bin</v>
      </c>
      <c r="F10" t="s">
        <v>10</v>
      </c>
      <c r="G10" t="str">
        <f t="shared" si="4"/>
        <v>MSM_GUID_20191231060000</v>
      </c>
      <c r="H10">
        <v>0</v>
      </c>
      <c r="I10">
        <v>259</v>
      </c>
      <c r="J10">
        <v>267</v>
      </c>
      <c r="K10">
        <v>260</v>
      </c>
      <c r="L10">
        <v>269</v>
      </c>
      <c r="M10">
        <v>152</v>
      </c>
    </row>
    <row r="11" spans="1:13">
      <c r="A11">
        <f t="shared" si="1"/>
        <v>6</v>
      </c>
      <c r="B11" t="str">
        <f t="shared" si="0"/>
        <v>.\grib2decode4.exe .\#input\Z__C_RJTD_20191231120000_MSM_GUID_Rjp_Prr_FH03-39_Tnilim_grib2.bin .\#output\ MSM_GUID_20191231120000 0 259 267 260 269 152    &gt;&gt;log_nlim.bat</v>
      </c>
      <c r="D11" s="1">
        <f t="shared" si="2"/>
        <v>43830.5</v>
      </c>
      <c r="E11" t="str">
        <f t="shared" si="3"/>
        <v>.\#input\Z__C_RJTD_20191231120000_MSM_GUID_Rjp_Prr_FH03-39_Tnilim_grib2.bin</v>
      </c>
      <c r="F11" t="s">
        <v>10</v>
      </c>
      <c r="G11" t="str">
        <f t="shared" si="4"/>
        <v>MSM_GUID_20191231120000</v>
      </c>
      <c r="H11">
        <v>0</v>
      </c>
      <c r="I11">
        <v>259</v>
      </c>
      <c r="J11">
        <v>267</v>
      </c>
      <c r="K11">
        <v>260</v>
      </c>
      <c r="L11">
        <v>269</v>
      </c>
      <c r="M11">
        <v>152</v>
      </c>
    </row>
    <row r="12" spans="1:13">
      <c r="A12">
        <f t="shared" si="1"/>
        <v>7</v>
      </c>
      <c r="B12" t="str">
        <f t="shared" si="0"/>
        <v>.\grib2decode4.exe .\#input\Z__C_RJTD_20191231180000_MSM_GUID_Rjp_Prr_FH03-39_Tnilim_grib2.bin .\#output\ MSM_GUID_20191231180000 0 259 267 260 269 152    &gt;&gt;log_nlim.bat</v>
      </c>
      <c r="D12" s="1">
        <f t="shared" si="2"/>
        <v>43830.75</v>
      </c>
      <c r="E12" t="str">
        <f t="shared" si="3"/>
        <v>.\#input\Z__C_RJTD_20191231180000_MSM_GUID_Rjp_Prr_FH03-39_Tnilim_grib2.bin</v>
      </c>
      <c r="F12" t="s">
        <v>10</v>
      </c>
      <c r="G12" t="str">
        <f t="shared" si="4"/>
        <v>MSM_GUID_20191231180000</v>
      </c>
      <c r="H12">
        <v>0</v>
      </c>
      <c r="I12">
        <v>259</v>
      </c>
      <c r="J12">
        <v>267</v>
      </c>
      <c r="K12">
        <v>260</v>
      </c>
      <c r="L12">
        <v>269</v>
      </c>
      <c r="M12">
        <v>152</v>
      </c>
    </row>
    <row r="13" spans="1:13">
      <c r="B13" t="s">
        <v>23</v>
      </c>
      <c r="D13" s="1"/>
    </row>
    <row r="14" spans="1:13">
      <c r="B14" t="s">
        <v>18</v>
      </c>
      <c r="D14" s="1"/>
    </row>
    <row r="15" spans="1:13">
      <c r="D15" s="1"/>
    </row>
    <row r="16" spans="1:13">
      <c r="D16" s="1"/>
    </row>
    <row r="17" spans="4:4">
      <c r="D17" s="1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cnt</vt:lpstr>
      <vt:lpstr>mk_bat_MSM_GUID</vt:lpstr>
      <vt:lpstr>mk_bat_MSM_GUID_nilim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003558髙橋 巧武</dc:creator>
  <cp:lastModifiedBy>KEI72</cp:lastModifiedBy>
  <dcterms:created xsi:type="dcterms:W3CDTF">2015-06-05T18:19:34Z</dcterms:created>
  <dcterms:modified xsi:type="dcterms:W3CDTF">2021-07-23T05:48:03Z</dcterms:modified>
</cp:coreProperties>
</file>